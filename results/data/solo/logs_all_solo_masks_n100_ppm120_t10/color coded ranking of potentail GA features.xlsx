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basher\Desktop\old-results\"/>
    </mc:Choice>
  </mc:AlternateContent>
  <xr:revisionPtr revIDLastSave="0" documentId="13_ncr:1_{9ECA11EB-8CB1-4292-A1FE-FF76142F7D4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  <sheet name="Sheet3" sheetId="3" r:id="rId5"/>
  </sheets>
  <definedNames>
    <definedName name="_xlnm._FilterDatabase" localSheetId="1" hidden="1">Sheet2!$A$1:$K$14</definedName>
    <definedName name="_xlnm._FilterDatabase" localSheetId="2" hidden="1">Sheet4!$A$1:$F$1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3" i="4"/>
  <c r="B8" i="4"/>
  <c r="B4" i="4"/>
  <c r="B7" i="4"/>
  <c r="B9" i="4"/>
  <c r="B6" i="4"/>
  <c r="B2" i="4"/>
</calcChain>
</file>

<file path=xl/sharedStrings.xml><?xml version="1.0" encoding="utf-8"?>
<sst xmlns="http://schemas.openxmlformats.org/spreadsheetml/2006/main" count="143" uniqueCount="53">
  <si>
    <t>etx</t>
  </si>
  <si>
    <t>rssi</t>
  </si>
  <si>
    <t>pfi</t>
  </si>
  <si>
    <t>re</t>
  </si>
  <si>
    <t>bdi</t>
  </si>
  <si>
    <t>1 - status_residual_energy / INIT_ENERGY_J, clamped [0,1] (node.c:397)</t>
  </si>
  <si>
    <t>qo</t>
  </si>
  <si>
    <t>queue occupancy snapshot: QUEUEBUF_CONF_NUM - queuebuf_numfree() (node.c:393)</t>
  </si>
  <si>
    <t>qlr</t>
  </si>
  <si>
    <t>hc</t>
  </si>
  <si>
    <t>si</t>
  </si>
  <si>
    <t>stability index: 1 / (1 + parent_switches) (node.c:431)</t>
  </si>
  <si>
    <t>tv</t>
  </si>
  <si>
    <t>trust value: status_fwd_count / (status_fwd_count + status_qloss_count) (default 1 if total=0) (node.c:435)</t>
  </si>
  <si>
    <t>pc</t>
  </si>
  <si>
    <t>wr</t>
  </si>
  <si>
    <t>str</t>
  </si>
  <si>
    <t>stretch of rank: status_rank - RPL_ROOT_RANK (if rank valid) (node.c:439)</t>
  </si>
  <si>
    <t>candEtx = status_etx_x100[i]/100.0, where status_etx_x100 is path-cost proxy: path_x100 = link_x100 + hop_via*100; link_x100 from link ETX; hop_via from rank (node.c:338, node.c:353, node.c:365, simulation.js:478, simulation.js:483)</t>
  </si>
  <si>
    <t>from status_link_rssi_dbm[i], transformed to clamp((dbm+100)/7, 0, 10) (node.c:366, simulation.js:315, simulation.js:425)</t>
  </si>
  <si>
    <t>per-candidate parent success ratio: status_pfi[i] = parent_tx_ok[cand] / parent_tx_attempts[cand] (node.c:453, node.c:457, simulation.js:426)</t>
  </si>
  <si>
    <t>status_residual_energy (J) (node.c:383, simulation.js:429)</t>
  </si>
  <si>
    <t>queue-loss ratio: status_qloss_count / (status_fwd_count + status_qloss_count) (node.c:402, node.c:403)</t>
  </si>
  <si>
    <t>hop count from rank: floor((rank - RPL_ROOT_RANK)/RPL_MIN_HOPRANKINC) (simulation.js:311, simulation.js:433)</t>
  </si>
  <si>
    <t>children count (not parent count): number of routes whose next-hop is this node (node.c:417, node.c:423)</t>
  </si>
  <si>
    <t>current preferred-parent success ratio: parent_tx_ok[p] / parent_tx_attempts[p] (node.c:411, node.c:415)</t>
  </si>
  <si>
    <t>Rank</t>
  </si>
  <si>
    <t>Feature</t>
  </si>
  <si>
    <t>PRR</t>
  </si>
  <si>
    <t>E2E/Delay (ms)</t>
  </si>
  <si>
    <t>NLT (ms)</t>
  </si>
  <si>
    <t>PRR_norm (+)</t>
  </si>
  <si>
    <t>Delay_norm (-)</t>
  </si>
  <si>
    <t>NLT_norm (-)</t>
  </si>
  <si>
    <t>Fitness</t>
  </si>
  <si>
    <t>Gap to Next</t>
  </si>
  <si>
    <t>% Improved vs Next</t>
  </si>
  <si>
    <t>-</t>
  </si>
  <si>
    <t>Delay</t>
  </si>
  <si>
    <t>NLT</t>
  </si>
  <si>
    <t>Commulative</t>
  </si>
  <si>
    <t>#</t>
  </si>
  <si>
    <t>Win</t>
  </si>
  <si>
    <t>Losers</t>
  </si>
  <si>
    <t>RSSI</t>
  </si>
  <si>
    <t>RE</t>
  </si>
  <si>
    <t>WR</t>
  </si>
  <si>
    <t>SI</t>
  </si>
  <si>
    <t>QLR</t>
  </si>
  <si>
    <t>Compitittion</t>
  </si>
  <si>
    <t>STR</t>
  </si>
  <si>
    <t>TV</t>
  </si>
  <si>
    <t>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</si>
</sst>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b/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206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="190" zoomScaleNormal="190" workbookViewId="0">
      <selection activeCell="A13" sqref="A13"/>
    </sheetView>
  </sheetViews>
  <sheetFormatPr defaultRowHeight="14.4" x14ac:dyDescent="0.3"/>
  <sheetData>
    <row r="1" spans="1:2" x14ac:dyDescent="0.3">
      <c r="A1" t="s">
        <v>0</v>
      </c>
      <c r="B1" t="s">
        <v>18</v>
      </c>
    </row>
    <row r="2" spans="1:2" x14ac:dyDescent="0.3">
      <c r="A2" t="s">
        <v>1</v>
      </c>
      <c r="B2" t="s">
        <v>19</v>
      </c>
    </row>
    <row r="3" spans="1:2" x14ac:dyDescent="0.3">
      <c r="A3" t="s">
        <v>2</v>
      </c>
      <c r="B3" t="s">
        <v>20</v>
      </c>
    </row>
    <row r="4" spans="1:2" x14ac:dyDescent="0.3">
      <c r="A4" t="s">
        <v>3</v>
      </c>
      <c r="B4" t="s">
        <v>21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22</v>
      </c>
    </row>
    <row r="8" spans="1:2" x14ac:dyDescent="0.3">
      <c r="A8" t="s">
        <v>9</v>
      </c>
      <c r="B8" t="s">
        <v>23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24</v>
      </c>
    </row>
    <row r="12" spans="1:2" x14ac:dyDescent="0.3">
      <c r="A12" t="s">
        <v>15</v>
      </c>
      <c r="B12" t="s">
        <v>25</v>
      </c>
    </row>
    <row r="13" spans="1:2" x14ac:dyDescent="0.3">
      <c r="A13" t="s">
        <v>16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A2C9-5E4A-4C70-B9A1-3D1886881235}">
  <dimension ref="A1:K14"/>
  <sheetViews>
    <sheetView zoomScale="160" zoomScaleNormal="160" workbookViewId="0">
      <selection activeCell="D14" sqref="D14"/>
    </sheetView>
  </sheetViews>
  <sheetFormatPr defaultRowHeight="14.4" x14ac:dyDescent="0.3"/>
  <sheetData>
    <row r="1" spans="1:11" ht="34.200000000000003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3">
      <c r="A2" s="2">
        <v>7</v>
      </c>
      <c r="B2" s="4" t="s">
        <v>3</v>
      </c>
      <c r="C2" s="2">
        <v>0.39789400000000003</v>
      </c>
      <c r="D2" s="2">
        <v>2822.3510000000001</v>
      </c>
      <c r="E2" s="2">
        <v>833819.7</v>
      </c>
      <c r="F2" s="2">
        <v>0.94616999999999996</v>
      </c>
      <c r="G2" s="2">
        <v>0.75399499999999997</v>
      </c>
      <c r="H2" s="2">
        <v>0.31741399999999997</v>
      </c>
      <c r="I2" s="2">
        <v>0.58374800000000004</v>
      </c>
      <c r="J2" s="2">
        <v>5.7879999999999997E-3</v>
      </c>
      <c r="K2" s="3">
        <v>0.01</v>
      </c>
    </row>
    <row r="3" spans="1:11" x14ac:dyDescent="0.3">
      <c r="A3" s="2">
        <v>5</v>
      </c>
      <c r="B3" s="4" t="s">
        <v>1</v>
      </c>
      <c r="C3" s="2">
        <v>0.40027299999999999</v>
      </c>
      <c r="D3" s="2">
        <v>2857.2579999999998</v>
      </c>
      <c r="E3" s="2">
        <v>825086.6</v>
      </c>
      <c r="F3" s="2">
        <v>1</v>
      </c>
      <c r="G3" s="2">
        <v>0.68137000000000003</v>
      </c>
      <c r="H3" s="2">
        <v>0.41280800000000001</v>
      </c>
      <c r="I3" s="2">
        <v>0.62674700000000005</v>
      </c>
      <c r="J3" s="2">
        <v>4.4720000000000003E-3</v>
      </c>
      <c r="K3" s="3">
        <v>7.1999999999999998E-3</v>
      </c>
    </row>
    <row r="4" spans="1:11" x14ac:dyDescent="0.3">
      <c r="A4" s="2">
        <v>4</v>
      </c>
      <c r="B4" s="4" t="s">
        <v>15</v>
      </c>
      <c r="C4" s="2">
        <v>0.38669900000000001</v>
      </c>
      <c r="D4" s="2">
        <v>2971.877</v>
      </c>
      <c r="E4" s="2">
        <v>797486.6</v>
      </c>
      <c r="F4" s="2">
        <v>0.69289100000000003</v>
      </c>
      <c r="G4" s="2">
        <v>0.44290200000000002</v>
      </c>
      <c r="H4" s="2">
        <v>0.71429200000000004</v>
      </c>
      <c r="I4" s="2">
        <v>0.64109499999999997</v>
      </c>
      <c r="J4" s="2">
        <v>1.4348E-2</v>
      </c>
      <c r="K4" s="3">
        <v>2.29E-2</v>
      </c>
    </row>
    <row r="5" spans="1:11" x14ac:dyDescent="0.3">
      <c r="A5" s="2">
        <v>8</v>
      </c>
      <c r="B5" s="4" t="s">
        <v>16</v>
      </c>
      <c r="C5" s="2">
        <v>0.362902</v>
      </c>
      <c r="D5" s="2">
        <v>2856.7080000000001</v>
      </c>
      <c r="E5" s="2">
        <v>795369.9</v>
      </c>
      <c r="F5" s="2">
        <v>0.154498</v>
      </c>
      <c r="G5" s="2">
        <v>0.68251399999999995</v>
      </c>
      <c r="H5" s="2">
        <v>0.73741400000000001</v>
      </c>
      <c r="I5" s="2">
        <v>0.57796000000000003</v>
      </c>
      <c r="J5" s="2">
        <v>0.16580600000000001</v>
      </c>
      <c r="K5" s="3">
        <v>0.40229999999999999</v>
      </c>
    </row>
    <row r="6" spans="1:11" x14ac:dyDescent="0.3">
      <c r="A6" s="2">
        <v>1</v>
      </c>
      <c r="B6" s="4" t="s">
        <v>12</v>
      </c>
      <c r="C6" s="2">
        <v>0.38730500000000001</v>
      </c>
      <c r="D6" s="2">
        <v>2787.6680000000001</v>
      </c>
      <c r="E6" s="2">
        <v>788228.4</v>
      </c>
      <c r="F6" s="2">
        <v>0.70660900000000004</v>
      </c>
      <c r="G6" s="2">
        <v>0.82615300000000003</v>
      </c>
      <c r="H6" s="2">
        <v>0.81542300000000001</v>
      </c>
      <c r="I6" s="2">
        <v>0.79090199999999999</v>
      </c>
      <c r="J6" s="2">
        <v>2.2391999999999999E-2</v>
      </c>
      <c r="K6" s="3">
        <v>2.9100000000000001E-2</v>
      </c>
    </row>
    <row r="7" spans="1:11" x14ac:dyDescent="0.3">
      <c r="A7" s="2">
        <v>6</v>
      </c>
      <c r="B7" s="4" t="s">
        <v>10</v>
      </c>
      <c r="C7" s="2">
        <v>0.35607299999999997</v>
      </c>
      <c r="D7" s="2">
        <v>2772.2379999999998</v>
      </c>
      <c r="E7" s="2">
        <v>788228.4</v>
      </c>
      <c r="F7" s="2">
        <v>0</v>
      </c>
      <c r="G7" s="2">
        <v>0.85825600000000002</v>
      </c>
      <c r="H7" s="2">
        <v>0.81542300000000001</v>
      </c>
      <c r="I7" s="2">
        <v>0.62227500000000002</v>
      </c>
      <c r="J7" s="2">
        <v>3.8526999999999999E-2</v>
      </c>
      <c r="K7" s="3">
        <v>6.6000000000000003E-2</v>
      </c>
    </row>
    <row r="8" spans="1:11" x14ac:dyDescent="0.3">
      <c r="A8" s="2">
        <v>2</v>
      </c>
      <c r="B8" s="4" t="s">
        <v>8</v>
      </c>
      <c r="C8" s="2">
        <v>0.36163899999999999</v>
      </c>
      <c r="D8" s="2">
        <v>2704.1089999999999</v>
      </c>
      <c r="E8" s="2">
        <v>773705.9</v>
      </c>
      <c r="F8" s="2">
        <v>0.12592500000000001</v>
      </c>
      <c r="G8" s="2">
        <v>1</v>
      </c>
      <c r="H8" s="2">
        <v>0.97405699999999995</v>
      </c>
      <c r="I8" s="2">
        <v>0.76851000000000003</v>
      </c>
      <c r="J8" s="2">
        <v>0.126583</v>
      </c>
      <c r="K8" s="3">
        <v>0.19719999999999999</v>
      </c>
    </row>
    <row r="9" spans="1:11" x14ac:dyDescent="0.3">
      <c r="A9" s="2">
        <v>3</v>
      </c>
      <c r="B9" s="4" t="s">
        <v>6</v>
      </c>
      <c r="C9" s="2">
        <v>0.36241000000000001</v>
      </c>
      <c r="D9" s="2">
        <v>2980.8</v>
      </c>
      <c r="E9" s="2">
        <v>771330.9</v>
      </c>
      <c r="F9" s="2">
        <v>0.143371</v>
      </c>
      <c r="G9" s="2">
        <v>0.42433799999999999</v>
      </c>
      <c r="H9" s="2">
        <v>1</v>
      </c>
      <c r="I9" s="2">
        <v>0.64192700000000003</v>
      </c>
      <c r="J9" s="2">
        <v>8.3199999999999995E-4</v>
      </c>
      <c r="K9" s="3">
        <v>1.2999999999999999E-3</v>
      </c>
    </row>
    <row r="10" spans="1:11" x14ac:dyDescent="0.3">
      <c r="A10" s="2">
        <v>9</v>
      </c>
      <c r="B10" s="4" t="s">
        <v>0</v>
      </c>
      <c r="C10" s="2">
        <v>0.383102</v>
      </c>
      <c r="D10" s="2">
        <v>2991.404</v>
      </c>
      <c r="E10" s="2">
        <v>833819.7</v>
      </c>
      <c r="F10" s="2">
        <v>0.61151100000000003</v>
      </c>
      <c r="G10" s="2">
        <v>0.40227600000000002</v>
      </c>
      <c r="H10" s="2">
        <v>0.31741399999999997</v>
      </c>
      <c r="I10" s="2">
        <v>0.41215400000000002</v>
      </c>
      <c r="J10" s="2">
        <v>5.9439999999999996E-3</v>
      </c>
      <c r="K10" s="3">
        <v>1.46E-2</v>
      </c>
    </row>
    <row r="11" spans="1:11" x14ac:dyDescent="0.3">
      <c r="A11" s="2">
        <v>10</v>
      </c>
      <c r="B11" s="4" t="s">
        <v>2</v>
      </c>
      <c r="C11" s="2">
        <v>0.371695</v>
      </c>
      <c r="D11" s="2">
        <v>2824.2249999999999</v>
      </c>
      <c r="E11" s="2">
        <v>839015.9</v>
      </c>
      <c r="F11" s="2">
        <v>0.353437</v>
      </c>
      <c r="G11" s="2">
        <v>0.75009599999999998</v>
      </c>
      <c r="H11" s="2">
        <v>0.260654</v>
      </c>
      <c r="I11" s="2">
        <v>0.40621000000000002</v>
      </c>
      <c r="J11" s="2">
        <v>7.4668999999999999E-2</v>
      </c>
      <c r="K11" s="3">
        <v>0.22520000000000001</v>
      </c>
    </row>
    <row r="12" spans="1:11" x14ac:dyDescent="0.3">
      <c r="A12" s="2">
        <v>11</v>
      </c>
      <c r="B12" s="4" t="s">
        <v>14</v>
      </c>
      <c r="C12" s="2">
        <v>0.36398599999999998</v>
      </c>
      <c r="D12" s="2">
        <v>2921.2089999999998</v>
      </c>
      <c r="E12" s="2">
        <v>835468.3</v>
      </c>
      <c r="F12" s="2">
        <v>0.179036</v>
      </c>
      <c r="G12" s="2">
        <v>0.54831799999999997</v>
      </c>
      <c r="H12" s="2">
        <v>0.29940499999999998</v>
      </c>
      <c r="I12" s="2">
        <v>0.33154099999999997</v>
      </c>
      <c r="J12" s="2">
        <v>5.2692999999999997E-2</v>
      </c>
      <c r="K12" s="3">
        <v>0.189</v>
      </c>
    </row>
    <row r="13" spans="1:11" x14ac:dyDescent="0.3">
      <c r="A13" s="2">
        <v>12</v>
      </c>
      <c r="B13" s="4" t="s">
        <v>4</v>
      </c>
      <c r="C13" s="2">
        <v>0.38336599999999998</v>
      </c>
      <c r="D13" s="2">
        <v>3184.7570000000001</v>
      </c>
      <c r="E13" s="2">
        <v>840087.1</v>
      </c>
      <c r="F13" s="2">
        <v>0.61748599999999998</v>
      </c>
      <c r="G13" s="2">
        <v>0</v>
      </c>
      <c r="H13" s="2">
        <v>0.24895300000000001</v>
      </c>
      <c r="I13" s="2">
        <v>0.27884799999999998</v>
      </c>
      <c r="J13" s="2">
        <v>5.2587000000000002E-2</v>
      </c>
      <c r="K13" s="3">
        <v>0.2324</v>
      </c>
    </row>
    <row r="14" spans="1:11" x14ac:dyDescent="0.3">
      <c r="A14" s="2">
        <v>13</v>
      </c>
      <c r="B14" s="4" t="s">
        <v>9</v>
      </c>
      <c r="C14" s="2">
        <v>0.38242799999999999</v>
      </c>
      <c r="D14" s="2">
        <v>3036.3440000000001</v>
      </c>
      <c r="E14" s="2">
        <v>862878</v>
      </c>
      <c r="F14" s="2">
        <v>0.59626699999999999</v>
      </c>
      <c r="G14" s="2">
        <v>0.30877700000000002</v>
      </c>
      <c r="H14" s="2">
        <v>0</v>
      </c>
      <c r="I14" s="2">
        <v>0.22626099999999999</v>
      </c>
      <c r="J14" s="2" t="s">
        <v>37</v>
      </c>
      <c r="K14" s="2" t="s">
        <v>37</v>
      </c>
    </row>
  </sheetData>
  <autoFilter ref="A1:K14" xr:uid="{0999A2C9-5E4A-4C70-B9A1-3D1886881235}">
    <sortState xmlns:xlrd2="http://schemas.microsoft.com/office/spreadsheetml/2017/richdata2" ref="A2:K9">
      <sortCondition ref="H1:H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93F0-84A0-474F-BB4F-CC9B305A4476}">
  <dimension ref="A1:F9"/>
  <sheetViews>
    <sheetView zoomScale="270" zoomScaleNormal="270" workbookViewId="0">
      <selection activeCell="G5" sqref="G5"/>
    </sheetView>
  </sheetViews>
  <sheetFormatPr defaultRowHeight="14.4" x14ac:dyDescent="0.3"/>
  <cols>
    <col min="2" max="2" width="11.88671875" bestFit="1" customWidth="1"/>
  </cols>
  <sheetData>
    <row r="1" spans="1:6" x14ac:dyDescent="0.3">
      <c r="A1" t="s">
        <v>34</v>
      </c>
      <c r="B1" t="s">
        <v>40</v>
      </c>
      <c r="C1" t="s">
        <v>41</v>
      </c>
      <c r="D1" t="s">
        <v>28</v>
      </c>
      <c r="E1" t="s">
        <v>38</v>
      </c>
      <c r="F1" t="s">
        <v>39</v>
      </c>
    </row>
    <row r="2" spans="1:6" x14ac:dyDescent="0.3">
      <c r="A2" s="4" t="s">
        <v>1</v>
      </c>
      <c r="B2" s="4">
        <f>1+3+2</f>
        <v>6</v>
      </c>
      <c r="C2" s="4">
        <v>5</v>
      </c>
      <c r="D2" s="4" t="s">
        <v>16</v>
      </c>
      <c r="E2" s="4" t="s">
        <v>3</v>
      </c>
      <c r="F2" s="4" t="s">
        <v>12</v>
      </c>
    </row>
    <row r="3" spans="1:6" x14ac:dyDescent="0.3">
      <c r="A3" s="4" t="s">
        <v>3</v>
      </c>
      <c r="B3" s="4">
        <f>2+5+1</f>
        <v>8</v>
      </c>
      <c r="C3" s="4">
        <v>7</v>
      </c>
      <c r="D3" s="4" t="s">
        <v>8</v>
      </c>
      <c r="E3" s="4" t="s">
        <v>10</v>
      </c>
      <c r="F3" s="4" t="s">
        <v>8</v>
      </c>
    </row>
    <row r="4" spans="1:6" x14ac:dyDescent="0.3">
      <c r="A4" s="4" t="s">
        <v>15</v>
      </c>
      <c r="B4" s="4">
        <f>4+2+3</f>
        <v>9</v>
      </c>
      <c r="C4" s="4">
        <v>4</v>
      </c>
      <c r="D4" s="4" t="s">
        <v>15</v>
      </c>
      <c r="E4" s="4" t="s">
        <v>16</v>
      </c>
      <c r="F4" s="4" t="s">
        <v>16</v>
      </c>
    </row>
    <row r="5" spans="1:6" x14ac:dyDescent="0.3">
      <c r="A5" s="4" t="s">
        <v>16</v>
      </c>
      <c r="B5" s="4">
        <f>5+4+4</f>
        <v>13</v>
      </c>
      <c r="C5" s="4">
        <v>8</v>
      </c>
      <c r="D5" s="4" t="s">
        <v>10</v>
      </c>
      <c r="E5" s="4" t="s">
        <v>8</v>
      </c>
      <c r="F5" s="4" t="s">
        <v>6</v>
      </c>
    </row>
    <row r="6" spans="1:6" x14ac:dyDescent="0.3">
      <c r="A6" s="4" t="s">
        <v>12</v>
      </c>
      <c r="B6" s="4">
        <f>3+6+5</f>
        <v>14</v>
      </c>
      <c r="C6" s="4">
        <v>1</v>
      </c>
      <c r="D6" s="4" t="s">
        <v>1</v>
      </c>
      <c r="E6" s="4" t="s">
        <v>6</v>
      </c>
      <c r="F6" s="4" t="s">
        <v>3</v>
      </c>
    </row>
    <row r="7" spans="1:6" x14ac:dyDescent="0.3">
      <c r="A7" s="4" t="s">
        <v>6</v>
      </c>
      <c r="B7" s="4">
        <f>6+1+8</f>
        <v>15</v>
      </c>
      <c r="C7" s="4">
        <v>3</v>
      </c>
      <c r="D7" s="4" t="s">
        <v>12</v>
      </c>
      <c r="E7" s="4" t="s">
        <v>1</v>
      </c>
      <c r="F7" s="4" t="s">
        <v>15</v>
      </c>
    </row>
    <row r="8" spans="1:6" x14ac:dyDescent="0.3">
      <c r="A8" s="4" t="s">
        <v>10</v>
      </c>
      <c r="B8" s="4">
        <f>8+7+6</f>
        <v>21</v>
      </c>
      <c r="C8" s="4">
        <v>6</v>
      </c>
      <c r="D8" s="4" t="s">
        <v>6</v>
      </c>
      <c r="E8" s="4" t="s">
        <v>12</v>
      </c>
      <c r="F8" s="4" t="s">
        <v>10</v>
      </c>
    </row>
    <row r="9" spans="1:6" x14ac:dyDescent="0.3">
      <c r="A9" s="4" t="s">
        <v>8</v>
      </c>
      <c r="B9" s="4">
        <f>7+8+7</f>
        <v>22</v>
      </c>
      <c r="C9" s="4">
        <v>2</v>
      </c>
      <c r="D9" s="4" t="s">
        <v>3</v>
      </c>
      <c r="E9" s="4" t="s">
        <v>15</v>
      </c>
      <c r="F9" s="4" t="s">
        <v>1</v>
      </c>
    </row>
  </sheetData>
  <autoFilter ref="A1:F1" xr:uid="{F7F593F0-84A0-474F-BB4F-CC9B305A4476}">
    <sortState xmlns:xlrd2="http://schemas.microsoft.com/office/spreadsheetml/2017/richdata2" ref="A2:F9">
      <sortCondition ref="B1"/>
    </sortState>
  </autoFilter>
  <conditionalFormatting sqref="A1:F9">
    <cfRule type="cellIs" dxfId="20" priority="1" operator="equal">
      <formula>"str"</formula>
    </cfRule>
    <cfRule type="cellIs" dxfId="19" priority="2" operator="equal">
      <formula>"re"</formula>
    </cfRule>
    <cfRule type="cellIs" dxfId="18" priority="3" operator="equal">
      <formula>"si"</formula>
    </cfRule>
    <cfRule type="cellIs" dxfId="17" priority="4" operator="equal">
      <formula>"rssi"</formula>
    </cfRule>
    <cfRule type="cellIs" dxfId="16" priority="5" operator="equal">
      <formula>"wr"</formula>
    </cfRule>
    <cfRule type="cellIs" dxfId="15" priority="6" operator="equal">
      <formula>"qo"</formula>
    </cfRule>
    <cfRule type="cellIs" dxfId="14" priority="7" operator="equal">
      <formula>"qlr"</formula>
    </cfRule>
    <cfRule type="cellIs" dxfId="13" priority="8" operator="equal">
      <formula>"tv"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37C3-18D8-4273-A234-9B20FF12D853}">
  <dimension ref="A1:D3"/>
  <sheetViews>
    <sheetView tabSelected="1" workbookViewId="0">
      <selection activeCell="B2" sqref="B2:C2"/>
    </sheetView>
  </sheetViews>
  <sheetFormatPr defaultRowHeight="14.4" x14ac:dyDescent="0.3"/>
  <cols>
    <col min="1" max="1" width="11.21875" bestFit="1" customWidth="1"/>
  </cols>
  <sheetData>
    <row r="1" spans="1:4" x14ac:dyDescent="0.3">
      <c r="A1" t="s">
        <v>42</v>
      </c>
      <c r="B1" s="6" t="s">
        <v>44</v>
      </c>
      <c r="C1" s="6" t="s">
        <v>45</v>
      </c>
      <c r="D1" s="6" t="s">
        <v>46</v>
      </c>
    </row>
    <row r="2" spans="1:4" x14ac:dyDescent="0.3">
      <c r="A2" t="s">
        <v>43</v>
      </c>
      <c r="B2" s="5" t="s">
        <v>47</v>
      </c>
      <c r="C2" s="5" t="s">
        <v>48</v>
      </c>
    </row>
    <row r="3" spans="1:4" x14ac:dyDescent="0.3">
      <c r="A3" t="s">
        <v>49</v>
      </c>
      <c r="B3" s="6" t="s">
        <v>50</v>
      </c>
      <c r="C3" s="5" t="s">
        <v>51</v>
      </c>
      <c r="D3" s="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1942-B000-4F3B-9FBE-845E43356654}">
  <dimension ref="A1:C14"/>
  <sheetViews>
    <sheetView zoomScale="180" zoomScaleNormal="180" workbookViewId="0">
      <selection activeCell="C1" sqref="C1"/>
    </sheetView>
  </sheetViews>
  <sheetFormatPr defaultRowHeight="14.4" x14ac:dyDescent="0.3"/>
  <sheetData>
    <row r="1" spans="1:3" x14ac:dyDescent="0.3">
      <c r="A1" t="s">
        <v>28</v>
      </c>
      <c r="B1" t="s">
        <v>38</v>
      </c>
      <c r="C1" t="s">
        <v>39</v>
      </c>
    </row>
    <row r="2" spans="1:3" x14ac:dyDescent="0.3">
      <c r="A2" s="4" t="s">
        <v>1</v>
      </c>
      <c r="B2" s="4" t="s">
        <v>8</v>
      </c>
      <c r="C2" s="4" t="s">
        <v>6</v>
      </c>
    </row>
    <row r="3" spans="1:3" x14ac:dyDescent="0.3">
      <c r="A3" s="4" t="s">
        <v>3</v>
      </c>
      <c r="B3" s="4" t="s">
        <v>10</v>
      </c>
      <c r="C3" s="4" t="s">
        <v>8</v>
      </c>
    </row>
    <row r="4" spans="1:3" x14ac:dyDescent="0.3">
      <c r="A4" s="4" t="s">
        <v>12</v>
      </c>
      <c r="B4" s="4" t="s">
        <v>12</v>
      </c>
      <c r="C4" s="4" t="s">
        <v>10</v>
      </c>
    </row>
    <row r="5" spans="1:3" x14ac:dyDescent="0.3">
      <c r="A5" s="4" t="s">
        <v>15</v>
      </c>
      <c r="B5" s="4" t="s">
        <v>3</v>
      </c>
      <c r="C5" s="4" t="s">
        <v>12</v>
      </c>
    </row>
    <row r="6" spans="1:3" x14ac:dyDescent="0.3">
      <c r="A6" s="4" t="s">
        <v>4</v>
      </c>
      <c r="B6" s="4" t="s">
        <v>2</v>
      </c>
      <c r="C6" s="7" t="s">
        <v>16</v>
      </c>
    </row>
    <row r="7" spans="1:3" x14ac:dyDescent="0.3">
      <c r="A7" s="4" t="s">
        <v>0</v>
      </c>
      <c r="B7" s="7" t="s">
        <v>16</v>
      </c>
      <c r="C7" s="4" t="s">
        <v>15</v>
      </c>
    </row>
    <row r="8" spans="1:3" x14ac:dyDescent="0.3">
      <c r="A8" s="4" t="s">
        <v>9</v>
      </c>
      <c r="B8" s="4" t="s">
        <v>1</v>
      </c>
      <c r="C8" s="4" t="s">
        <v>1</v>
      </c>
    </row>
    <row r="9" spans="1:3" x14ac:dyDescent="0.3">
      <c r="A9" s="4" t="s">
        <v>2</v>
      </c>
      <c r="B9" s="7" t="s">
        <v>14</v>
      </c>
      <c r="C9" s="4" t="s">
        <v>3</v>
      </c>
    </row>
    <row r="10" spans="1:3" x14ac:dyDescent="0.3">
      <c r="A10" s="7" t="s">
        <v>14</v>
      </c>
      <c r="B10" s="4" t="s">
        <v>15</v>
      </c>
      <c r="C10" s="4" t="s">
        <v>0</v>
      </c>
    </row>
    <row r="11" spans="1:3" x14ac:dyDescent="0.3">
      <c r="A11" s="7" t="s">
        <v>16</v>
      </c>
      <c r="B11" s="4" t="s">
        <v>6</v>
      </c>
      <c r="C11" s="7" t="s">
        <v>14</v>
      </c>
    </row>
    <row r="12" spans="1:3" x14ac:dyDescent="0.3">
      <c r="A12" s="4" t="s">
        <v>6</v>
      </c>
      <c r="B12" s="4" t="s">
        <v>0</v>
      </c>
      <c r="C12" s="4" t="s">
        <v>2</v>
      </c>
    </row>
    <row r="13" spans="1:3" x14ac:dyDescent="0.3">
      <c r="A13" s="4" t="s">
        <v>8</v>
      </c>
      <c r="B13" s="4" t="s">
        <v>9</v>
      </c>
      <c r="C13" s="4" t="s">
        <v>4</v>
      </c>
    </row>
    <row r="14" spans="1:3" x14ac:dyDescent="0.3">
      <c r="A14" s="4" t="s">
        <v>10</v>
      </c>
      <c r="B14" s="4" t="s">
        <v>4</v>
      </c>
      <c r="C14" s="4" t="s">
        <v>9</v>
      </c>
    </row>
  </sheetData>
  <conditionalFormatting sqref="A1:C14">
    <cfRule type="cellIs" dxfId="12" priority="3" operator="equal">
      <formula>"qo"</formula>
    </cfRule>
    <cfRule type="cellIs" dxfId="11" priority="4" operator="equal">
      <formula>"str"</formula>
    </cfRule>
    <cfRule type="cellIs" dxfId="10" priority="5" operator="equal">
      <formula>"pc"</formula>
    </cfRule>
    <cfRule type="cellIs" dxfId="9" priority="6" operator="equal">
      <formula>"pfi"</formula>
    </cfRule>
    <cfRule type="cellIs" dxfId="8" priority="7" operator="equal">
      <formula>"hc"</formula>
    </cfRule>
    <cfRule type="cellIs" dxfId="7" priority="8" operator="equal">
      <formula>"etx"</formula>
    </cfRule>
    <cfRule type="cellIs" dxfId="6" priority="9" operator="equal">
      <formula>"bdi"</formula>
    </cfRule>
    <cfRule type="cellIs" dxfId="5" priority="10" operator="equal">
      <formula>"wr"</formula>
    </cfRule>
    <cfRule type="cellIs" dxfId="4" priority="11" operator="equal">
      <formula>"re"</formula>
    </cfRule>
    <cfRule type="cellIs" dxfId="3" priority="12" operator="equal">
      <formula>"rssi"</formula>
    </cfRule>
    <cfRule type="cellIs" dxfId="2" priority="13" operator="equal">
      <formula>"tv"</formula>
    </cfRule>
  </conditionalFormatting>
  <conditionalFormatting sqref="A2:C14">
    <cfRule type="cellIs" dxfId="1" priority="1" operator="equal">
      <formula>"si"</formula>
    </cfRule>
    <cfRule type="cellIs" dxfId="0" priority="2" operator="equal">
      <formula>"qlr"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mubasher</dc:creator>
  <cp:lastModifiedBy>Main Mubasher</cp:lastModifiedBy>
  <dcterms:created xsi:type="dcterms:W3CDTF">2015-06-05T18:17:20Z</dcterms:created>
  <dcterms:modified xsi:type="dcterms:W3CDTF">2026-03-07T07:50:12Z</dcterms:modified>
</cp:coreProperties>
</file>